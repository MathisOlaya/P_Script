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P_Script\"/>
    </mc:Choice>
  </mc:AlternateContent>
  <xr:revisionPtr revIDLastSave="0" documentId="13_ncr:1_{707C9793-D458-41E4-BACE-4CA263AB3DB9}" xr6:coauthVersionLast="47" xr6:coauthVersionMax="47" xr10:uidLastSave="{00000000-0000-0000-0000-000000000000}"/>
  <bookViews>
    <workbookView xWindow="28680" yWindow="-120" windowWidth="29040" windowHeight="15840" firstSheet="4" activeTab="4" xr2:uid="{00000000-000D-0000-FFFF-FFFF00000000}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8" r:id="rId5"/>
  </sheets>
  <definedNames>
    <definedName name="datDateBegin">#REF!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58" l="1"/>
  <c r="D77" i="158"/>
  <c r="D20" i="158"/>
  <c r="D39" i="158" s="1"/>
  <c r="D58" i="158" s="1"/>
  <c r="B151" i="158"/>
  <c r="B132" i="158"/>
  <c r="B113" i="158"/>
  <c r="B94" i="158"/>
  <c r="B75" i="158"/>
  <c r="B56" i="158"/>
  <c r="B37" i="158"/>
  <c r="B18" i="158"/>
  <c r="D115" i="158" l="1"/>
  <c r="D134" i="158" s="1"/>
  <c r="B18" i="154"/>
  <c r="B13" i="11" l="1"/>
</calcChain>
</file>

<file path=xl/sharedStrings.xml><?xml version="1.0" encoding="utf-8"?>
<sst xmlns="http://schemas.openxmlformats.org/spreadsheetml/2006/main" count="92" uniqueCount="21">
  <si>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</si>
  <si>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</si>
  <si>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</si>
  <si>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</si>
  <si>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</si>
  <si>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</si>
  <si>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</si>
  <si>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</si>
  <si>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</si>
  <si>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</si>
  <si>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</si>
  <si>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</si>
  <si>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STOP</t>
  </si>
  <si>
    <t>Max. 12</t>
  </si>
  <si>
    <t>Présentations des projets</t>
  </si>
  <si>
    <t>Sprint 1</t>
  </si>
  <si>
    <t>Sprint 2</t>
  </si>
  <si>
    <t>Sprint 3</t>
  </si>
  <si>
    <t>P_Script remed appro</t>
  </si>
  <si>
    <t>Introduction au projet</t>
  </si>
  <si>
    <t>Remplissage du JDT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</si>
</sst>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theme="0"/>
      <name val="Century Gothic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 applyProtection="1">
      <alignment horizontal="left" vertical="top" wrapText="1"/>
    </xf>
    <xf numFmtId="0" fontId="13" fillId="8" borderId="0" xfId="0" applyFont="1" applyFill="1"/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4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58" t="s">
        <v>9</v>
      </c>
      <c r="C3" s="16">
        <v>0</v>
      </c>
    </row>
    <row r="4" spans="1:4" ht="19.5" customHeight="1" x14ac:dyDescent="0.25">
      <c r="A4" s="19"/>
      <c r="B4" s="5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B9033-1A03-45C0-BE2D-4C9897FF28EB}">
  <sheetPr codeName="Feuil9"/>
  <dimension ref="A1:I172"/>
  <sheetViews>
    <sheetView tabSelected="1" workbookViewId="0">
      <selection activeCell="A4" sqref="A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>
        <v>45398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ht="27" x14ac:dyDescent="0.25">
      <c r="A3" s="5" t="s">
        <v>19</v>
      </c>
      <c r="B3" s="4">
        <v>3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 t="s">
        <v>20</v>
      </c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3</v>
      </c>
      <c r="C18" s="56" t="s">
        <v>13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4</v>
      </c>
      <c r="B20" s="44">
        <v>2</v>
      </c>
      <c r="C20" s="45" t="s">
        <v>11</v>
      </c>
      <c r="D20" s="54">
        <f>$D$1+7</f>
        <v>45405</v>
      </c>
    </row>
    <row r="21" spans="1:9" ht="27.75" thickBot="1" x14ac:dyDescent="0.3">
      <c r="A21" s="46" t="s">
        <v>0</v>
      </c>
      <c r="B21" s="47" t="s">
        <v>5</v>
      </c>
      <c r="C21" s="46" t="s">
        <v>2</v>
      </c>
      <c r="D21" s="46" t="s">
        <v>3</v>
      </c>
    </row>
    <row r="22" spans="1:9" x14ac:dyDescent="0.25">
      <c r="A22" s="5" t="s">
        <v>15</v>
      </c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10</v>
      </c>
      <c r="B37" s="48">
        <f>SUM(B22:B36)</f>
        <v>0</v>
      </c>
      <c r="C37" s="56" t="s">
        <v>13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4</v>
      </c>
      <c r="B39" s="44">
        <v>3</v>
      </c>
      <c r="C39" s="45" t="s">
        <v>11</v>
      </c>
      <c r="D39" s="54">
        <f>$D$20+7</f>
        <v>45412</v>
      </c>
      <c r="E39" s="20"/>
      <c r="F39" s="20"/>
      <c r="G39" s="20"/>
      <c r="H39" s="20"/>
      <c r="I39" s="20"/>
    </row>
    <row r="40" spans="1:9" ht="27.75" thickBot="1" x14ac:dyDescent="0.3">
      <c r="A40" s="46" t="s">
        <v>0</v>
      </c>
      <c r="B40" s="47" t="s">
        <v>5</v>
      </c>
      <c r="C40" s="46" t="s">
        <v>2</v>
      </c>
      <c r="D40" s="46" t="s">
        <v>3</v>
      </c>
    </row>
    <row r="41" spans="1:9" x14ac:dyDescent="0.25">
      <c r="A41" s="5" t="s">
        <v>16</v>
      </c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10</v>
      </c>
      <c r="B56" s="48">
        <f>SUM(B41:B55)</f>
        <v>0</v>
      </c>
      <c r="C56" s="56" t="s">
        <v>13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4</v>
      </c>
      <c r="B58" s="44">
        <v>4</v>
      </c>
      <c r="C58" s="45" t="s">
        <v>11</v>
      </c>
      <c r="D58" s="54">
        <f>$D$39+7</f>
        <v>45419</v>
      </c>
    </row>
    <row r="59" spans="1:4" ht="27.75" thickBot="1" x14ac:dyDescent="0.3">
      <c r="A59" s="46" t="s">
        <v>0</v>
      </c>
      <c r="B59" s="47" t="s">
        <v>5</v>
      </c>
      <c r="C59" s="46" t="s">
        <v>2</v>
      </c>
      <c r="D59" s="46" t="s">
        <v>3</v>
      </c>
    </row>
    <row r="60" spans="1:4" x14ac:dyDescent="0.25">
      <c r="A60" s="5" t="s">
        <v>16</v>
      </c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10</v>
      </c>
      <c r="B75" s="48">
        <f>SUM(B60:B74)</f>
        <v>0</v>
      </c>
      <c r="C75" s="56" t="s">
        <v>13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4</v>
      </c>
      <c r="B77" s="44">
        <v>5</v>
      </c>
      <c r="C77" s="45" t="s">
        <v>11</v>
      </c>
      <c r="D77" s="54">
        <f>$D$58+6</f>
        <v>45425</v>
      </c>
    </row>
    <row r="78" spans="1:4" ht="27.75" thickBot="1" x14ac:dyDescent="0.3">
      <c r="A78" s="46" t="s">
        <v>0</v>
      </c>
      <c r="B78" s="47" t="s">
        <v>5</v>
      </c>
      <c r="C78" s="46" t="s">
        <v>2</v>
      </c>
      <c r="D78" s="46" t="s">
        <v>3</v>
      </c>
    </row>
    <row r="79" spans="1:4" x14ac:dyDescent="0.25">
      <c r="A79" s="5" t="s">
        <v>17</v>
      </c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10</v>
      </c>
      <c r="B94" s="48">
        <f>SUM(B79:B93)</f>
        <v>0</v>
      </c>
      <c r="C94" s="56" t="s">
        <v>13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4</v>
      </c>
      <c r="B96" s="44">
        <v>5</v>
      </c>
      <c r="C96" s="45" t="s">
        <v>11</v>
      </c>
      <c r="D96" s="54">
        <f>$D$58+7</f>
        <v>45426</v>
      </c>
    </row>
    <row r="97" spans="1:4" ht="27.75" thickBot="1" x14ac:dyDescent="0.3">
      <c r="A97" s="46" t="s">
        <v>0</v>
      </c>
      <c r="B97" s="47" t="s">
        <v>5</v>
      </c>
      <c r="C97" s="46" t="s">
        <v>2</v>
      </c>
      <c r="D97" s="46" t="s">
        <v>3</v>
      </c>
    </row>
    <row r="98" spans="1:4" x14ac:dyDescent="0.25">
      <c r="A98" s="5" t="s">
        <v>17</v>
      </c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10</v>
      </c>
      <c r="B113" s="48">
        <f>SUM(B98:B112)</f>
        <v>0</v>
      </c>
      <c r="C113" s="56" t="s">
        <v>13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4</v>
      </c>
      <c r="B115" s="44">
        <v>6</v>
      </c>
      <c r="C115" s="45" t="s">
        <v>11</v>
      </c>
      <c r="D115" s="54">
        <f>$D$96+7</f>
        <v>45433</v>
      </c>
    </row>
    <row r="116" spans="1:4" ht="27.75" thickBot="1" x14ac:dyDescent="0.3">
      <c r="A116" s="46" t="s">
        <v>0</v>
      </c>
      <c r="B116" s="47" t="s">
        <v>5</v>
      </c>
      <c r="C116" s="46" t="s">
        <v>2</v>
      </c>
      <c r="D116" s="46" t="s">
        <v>3</v>
      </c>
    </row>
    <row r="117" spans="1:4" x14ac:dyDescent="0.25">
      <c r="A117" s="5" t="s">
        <v>18</v>
      </c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10</v>
      </c>
      <c r="B132" s="48">
        <f>SUM(B117:B131)</f>
        <v>0</v>
      </c>
      <c r="C132" s="56" t="s">
        <v>13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4</v>
      </c>
      <c r="B134" s="44">
        <v>7</v>
      </c>
      <c r="C134" s="45" t="s">
        <v>11</v>
      </c>
      <c r="D134" s="54">
        <f>$D$115+7</f>
        <v>45440</v>
      </c>
    </row>
    <row r="135" spans="1:4" ht="27.75" thickBot="1" x14ac:dyDescent="0.3">
      <c r="A135" s="46" t="s">
        <v>0</v>
      </c>
      <c r="B135" s="47" t="s">
        <v>5</v>
      </c>
      <c r="C135" s="46" t="s">
        <v>2</v>
      </c>
      <c r="D135" s="46" t="s">
        <v>3</v>
      </c>
    </row>
    <row r="136" spans="1:4" ht="27" x14ac:dyDescent="0.25">
      <c r="A136" s="5" t="s">
        <v>14</v>
      </c>
      <c r="B136" s="4">
        <v>12</v>
      </c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10</v>
      </c>
      <c r="B151" s="48">
        <f>SUM(B136:B150)</f>
        <v>12</v>
      </c>
      <c r="C151" s="56" t="s">
        <v>13</v>
      </c>
      <c r="D151" s="49"/>
    </row>
    <row r="152" spans="1:4" ht="14.25" x14ac:dyDescent="0.3">
      <c r="A152" s="50"/>
      <c r="B152" s="50"/>
      <c r="C152" s="50"/>
      <c r="D152" s="50"/>
    </row>
    <row r="172" spans="1:1" x14ac:dyDescent="0.25">
      <c r="A172" s="57" t="s">
        <v>12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C8FCBB5-36C4-47E1-BC25-4E1A0A4BF3E6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CBF57BFF-2340-4B50-9C4D-73A7E16C846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7535515-6BCD-4944-ADA9-7B756C80AE85}">
      <formula1>0</formula1>
      <formula2>NbPerWeek * NbQuartPer</formula2>
    </dataValidation>
    <dataValidation type="list" allowBlank="1" showInputMessage="1" showErrorMessage="1" sqref="A3:A17 A22:A36 A41:A55 A60:A74 A79:A93 A98:A112 A117:A131 A136:A150" xr:uid="{6DCC5B4F-9604-4386-A76A-E5F4BC4AF66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Sidney Geiser</dc:creator>
  <cp:lastModifiedBy>Sidney Geiser</cp:lastModifiedBy>
  <cp:lastPrinted>2013-08-29T11:33:15Z</cp:lastPrinted>
  <dcterms:created xsi:type="dcterms:W3CDTF">1996-10-21T11:03:58Z</dcterms:created>
  <dcterms:modified xsi:type="dcterms:W3CDTF">2024-04-16T07:15:39Z</dcterms:modified>
</cp:coreProperties>
</file>